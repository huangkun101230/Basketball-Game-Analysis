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109"/>
  <workbookPr/>
  <mc:AlternateContent xmlns:mc="http://schemas.openxmlformats.org/markup-compatibility/2006">
    <mc:Choice Requires="x15">
      <x15ac:absPath xmlns:x15ac="http://schemas.microsoft.com/office/spreadsheetml/2010/11/ac" url="/Users/Kun/Documents/"/>
    </mc:Choice>
  </mc:AlternateContent>
  <bookViews>
    <workbookView xWindow="0" yWindow="460" windowWidth="25600" windowHeight="1458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26" i="1" l="1"/>
  <c r="N23" i="1"/>
  <c r="N22" i="1"/>
  <c r="N21" i="1"/>
  <c r="N20" i="1"/>
  <c r="N19" i="1"/>
  <c r="N18" i="1"/>
  <c r="N17" i="1"/>
  <c r="J40" i="1"/>
  <c r="J39" i="1"/>
  <c r="J38" i="1"/>
  <c r="J37" i="1"/>
  <c r="J36" i="1"/>
  <c r="J35" i="1"/>
  <c r="J34" i="1"/>
  <c r="J33" i="1"/>
  <c r="J32" i="1"/>
  <c r="J25" i="1"/>
  <c r="J24" i="1"/>
  <c r="J23" i="1"/>
  <c r="J21" i="1"/>
  <c r="J20" i="1"/>
  <c r="J19" i="1"/>
  <c r="J18" i="1"/>
  <c r="J17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<sst xmlns="http://schemas.openxmlformats.org/spreadsheetml/2006/main" count="96" uniqueCount="52">
  <si>
    <t>Liu</t>
  </si>
  <si>
    <t>Points</t>
  </si>
  <si>
    <t>Shots</t>
  </si>
  <si>
    <t>Rebounds</t>
  </si>
  <si>
    <t>Assists</t>
  </si>
  <si>
    <t>Steals</t>
  </si>
  <si>
    <t>Blocks</t>
  </si>
  <si>
    <t>Turnovers</t>
  </si>
  <si>
    <t>Fouls</t>
  </si>
  <si>
    <t>First Game</t>
  </si>
  <si>
    <t>Second Game</t>
  </si>
  <si>
    <t>Third Game</t>
  </si>
  <si>
    <t>Fourth Game</t>
  </si>
  <si>
    <t>Fifth Game</t>
  </si>
  <si>
    <t>Sixth Game</t>
  </si>
  <si>
    <t>2-point shots (in)</t>
  </si>
  <si>
    <t>2-point shots (total)</t>
  </si>
  <si>
    <t>3-point shots (in)</t>
  </si>
  <si>
    <t>3-point shots (total)</t>
  </si>
  <si>
    <t>Zheng</t>
  </si>
  <si>
    <t>Kun</t>
  </si>
  <si>
    <t>Liu's Statistics</t>
  </si>
  <si>
    <t>Total points</t>
  </si>
  <si>
    <t>Average points</t>
  </si>
  <si>
    <t>2-points hit rate</t>
  </si>
  <si>
    <t>3-points hit rate</t>
  </si>
  <si>
    <t>Average shots</t>
  </si>
  <si>
    <t>Zheng's Statistics</t>
  </si>
  <si>
    <t>-</t>
  </si>
  <si>
    <t>Kun's Statistics</t>
  </si>
  <si>
    <t>Liu's Total points</t>
  </si>
  <si>
    <t>Liu's Total shots</t>
  </si>
  <si>
    <t>Liu's Total rebounds</t>
  </si>
  <si>
    <t>Liu's Total Assists</t>
  </si>
  <si>
    <t>Liu's Total turnovers</t>
  </si>
  <si>
    <t>Zheng's Total points</t>
  </si>
  <si>
    <t>Zheng's Total shots</t>
  </si>
  <si>
    <t>Zheng's Total turnovers</t>
  </si>
  <si>
    <t>Zheng's Total rebounds</t>
  </si>
  <si>
    <t>Zheng's Total Assists</t>
  </si>
  <si>
    <t>Kun's Total points</t>
  </si>
  <si>
    <t>Kun's Total shots</t>
  </si>
  <si>
    <t>Kun's Total turnovers</t>
  </si>
  <si>
    <t>Kun's Total rebounds</t>
  </si>
  <si>
    <t>Kun's Total Assists</t>
  </si>
  <si>
    <t>Team's Statistics</t>
  </si>
  <si>
    <t>2-point shots(in)</t>
  </si>
  <si>
    <t>2-point shots(total)</t>
  </si>
  <si>
    <t>3-point shots(in)</t>
  </si>
  <si>
    <t>3-point shots(total)</t>
  </si>
  <si>
    <t>2-point score</t>
  </si>
  <si>
    <t>3-point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</si>
</sst>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_rels/chart2.xml.rels><?xml version="1.0" encoding="UTF-8" standalone="yes"?>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</Relationships>
</file>

<file path=xl/charts/_rels/chart3.xml.rels><?xml version="1.0" encoding="UTF-8" standalone="yes"?>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</Relationships>
</file>

<file path=xl/charts/_rels/chart4.xml.rels><?xml version="1.0" encoding="UTF-8" standalone="yes"?>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</Relationships>
</file>

<file path=xl/charts/_rels/chart5.xml.rels><?xml version="1.0" encoding="UTF-8" standalone="yes"?>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</Relationships>
</file>

<file path=xl/charts/_rels/chart6.xml.rels><?xml version="1.0" encoding="UTF-8" standalone="yes"?>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</Relationships>
</file>

<file path=xl/charts/_rels/chart7.xml.rels><?xml version="1.0" encoding="UTF-8" standalone="yes"?>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</Relationships>
</file>

<file path=xl/charts/_rels/chart8.xml.rels><?xml version="1.0" encoding="UTF-8" standalone="yes"?>
<Relationships xmlns="http://schemas.openxmlformats.org/package/2006/relationships"><Relationship Id="rId1" Type="http://schemas.microsoft.com/office/2011/relationships/chartStyle" Target="style8.xml"/><Relationship Id="rId2" Type="http://schemas.microsoft.com/office/2011/relationships/chartColorStyle" Target="colors8.xml"/></Relationships>
</file>

<file path=xl/charts/_rels/chart9.xml.rels><?xml version="1.0" encoding="UTF-8" standalone="yes"?>
<Relationships xmlns="http://schemas.openxmlformats.org/package/2006/relationships"><Relationship Id="rId1" Type="http://schemas.microsoft.com/office/2011/relationships/chartStyle" Target="style9.xml"/><Relationship Id="rId2" Type="http://schemas.microsoft.com/office/2011/relationships/chartColorStyle" Target="colors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The</a:t>
            </a:r>
            <a:r>
              <a:rPr lang="zh-CN"/>
              <a:t> </a:t>
            </a:r>
            <a:r>
              <a:rPr lang="en-US"/>
              <a:t>scoring</a:t>
            </a:r>
            <a:r>
              <a:rPr lang="zh-CN" altLang="en-US"/>
              <a:t> </a:t>
            </a:r>
            <a:r>
              <a:rPr lang="en-US" altLang="zh-CN"/>
              <a:t>ratio</a:t>
            </a:r>
            <a:r>
              <a:rPr lang="zh-CN"/>
              <a:t> </a:t>
            </a:r>
            <a:r>
              <a:rPr lang="en-US"/>
              <a:t>of</a:t>
            </a:r>
            <a:r>
              <a:rPr lang="zh-CN"/>
              <a:t> </a:t>
            </a:r>
            <a:r>
              <a:rPr lang="en-US"/>
              <a:t>each</a:t>
            </a:r>
            <a:r>
              <a:rPr lang="zh-CN"/>
              <a:t> </a:t>
            </a:r>
            <a:r>
              <a:rPr lang="en-US"/>
              <a:t>player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(Sheet1!$I$2,Sheet1!$I$17,Sheet1!$I$32)</c:f>
              <c:strCache>
                <c:ptCount val="3"/>
                <c:pt idx="0">
                  <c:v>Liu's Total points</c:v>
                </c:pt>
                <c:pt idx="1">
                  <c:v>Zheng's Total points</c:v>
                </c:pt>
                <c:pt idx="2">
                  <c:v>Kun's Total points</c:v>
                </c:pt>
              </c:strCache>
            </c:strRef>
          </c:cat>
          <c:val>
            <c:numRef>
              <c:f>(Sheet1!$J$2,Sheet1!$J$17,Sheet1!$J$32)</c:f>
              <c:numCache>
                <c:formatCode>General</c:formatCode>
                <c:ptCount val="3"/>
                <c:pt idx="0">
                  <c:v>33.0</c:v>
                </c:pt>
                <c:pt idx="1">
                  <c:v>38.0</c:v>
                </c:pt>
                <c:pt idx="2">
                  <c:v>43.0</c:v>
                </c:pt>
              </c:numCache>
            </c:numRef>
          </c:val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Zheng's</a:t>
            </a:r>
            <a:r>
              <a:rPr lang="zh-CN" altLang="en-US"/>
              <a:t> </a:t>
            </a:r>
            <a:r>
              <a:rPr lang="en-US" altLang="zh-CN"/>
              <a:t>Statistics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(Sheet1!$I$17,Sheet1!$I$23,Sheet1!$I$24,Sheet1!$I$25)</c:f>
              <c:strCache>
                <c:ptCount val="4"/>
                <c:pt idx="0">
                  <c:v>Zheng's Total points</c:v>
                </c:pt>
                <c:pt idx="1">
                  <c:v>Zheng's Total turnovers</c:v>
                </c:pt>
                <c:pt idx="2">
                  <c:v>Zheng's Total rebounds</c:v>
                </c:pt>
                <c:pt idx="3">
                  <c:v>Zheng's Total Assists</c:v>
                </c:pt>
              </c:strCache>
            </c:strRef>
          </c:cat>
          <c:val>
            <c:numRef>
              <c:f>(Sheet1!$J$17,Sheet1!$J$23,Sheet1!$J$24,Sheet1!$J$25)</c:f>
              <c:numCache>
                <c:formatCode>General</c:formatCode>
                <c:ptCount val="4"/>
                <c:pt idx="0">
                  <c:v>38.0</c:v>
                </c:pt>
                <c:pt idx="1">
                  <c:v>5.0</c:v>
                </c:pt>
                <c:pt idx="2">
                  <c:v>13.0</c:v>
                </c:pt>
                <c:pt idx="3">
                  <c:v>6.0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2282368"/>
        <c:axId val="852284144"/>
      </c:radarChart>
      <c:catAx>
        <c:axId val="852282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284144"/>
        <c:crosses val="autoZero"/>
        <c:auto val="1"/>
        <c:lblAlgn val="ctr"/>
        <c:lblOffset val="100"/>
        <c:noMultiLvlLbl val="0"/>
      </c:catAx>
      <c:valAx>
        <c:axId val="852284144"/>
        <c:scaling>
          <c:orientation val="minMax"/>
          <c:max val="50.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282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Kun's</a:t>
            </a:r>
            <a:r>
              <a:rPr lang="zh-CN" altLang="en-US" baseline="0"/>
              <a:t> </a:t>
            </a:r>
            <a:r>
              <a:rPr lang="en-US" altLang="zh-CN" baseline="0"/>
              <a:t>Statistics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(Sheet1!$I$32,Sheet1!$I$38,Sheet1!$I$39,Sheet1!$I$40)</c:f>
              <c:strCache>
                <c:ptCount val="4"/>
                <c:pt idx="0">
                  <c:v>Kun's Total points</c:v>
                </c:pt>
                <c:pt idx="1">
                  <c:v>Kun's Total turnovers</c:v>
                </c:pt>
                <c:pt idx="2">
                  <c:v>Kun's Total rebounds</c:v>
                </c:pt>
                <c:pt idx="3">
                  <c:v>Kun's Total Assists</c:v>
                </c:pt>
              </c:strCache>
            </c:strRef>
          </c:cat>
          <c:val>
            <c:numRef>
              <c:f>(Sheet1!$J$32,Sheet1!$J$38,Sheet1!$J$39,Sheet1!$J$40)</c:f>
              <c:numCache>
                <c:formatCode>General</c:formatCode>
                <c:ptCount val="4"/>
                <c:pt idx="0">
                  <c:v>43.0</c:v>
                </c:pt>
                <c:pt idx="1">
                  <c:v>8.0</c:v>
                </c:pt>
                <c:pt idx="2">
                  <c:v>22.0</c:v>
                </c:pt>
                <c:pt idx="3">
                  <c:v>13.0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1923200"/>
        <c:axId val="852406192"/>
      </c:radarChart>
      <c:catAx>
        <c:axId val="851923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406192"/>
        <c:crosses val="autoZero"/>
        <c:auto val="1"/>
        <c:lblAlgn val="ctr"/>
        <c:lblOffset val="100"/>
        <c:noMultiLvlLbl val="0"/>
      </c:catAx>
      <c:valAx>
        <c:axId val="85240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1923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Liu's</a:t>
            </a:r>
            <a:r>
              <a:rPr lang="zh-CN" altLang="en-US"/>
              <a:t> </a:t>
            </a:r>
            <a:r>
              <a:rPr lang="en-US" altLang="zh-CN"/>
              <a:t>Statistics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(Sheet1!$I$2,Sheet1!$I$8,Sheet1!$I$9,Sheet1!$I$10)</c:f>
              <c:strCache>
                <c:ptCount val="4"/>
                <c:pt idx="0">
                  <c:v>Liu's Total points</c:v>
                </c:pt>
                <c:pt idx="1">
                  <c:v>Liu's Total turnovers</c:v>
                </c:pt>
                <c:pt idx="2">
                  <c:v>Liu's Total rebounds</c:v>
                </c:pt>
                <c:pt idx="3">
                  <c:v>Liu's Total Assists</c:v>
                </c:pt>
              </c:strCache>
            </c:strRef>
          </c:cat>
          <c:val>
            <c:numRef>
              <c:f>(Sheet1!$J$2,Sheet1!$J$8,Sheet1!$J$9,Sheet1!$J$10)</c:f>
              <c:numCache>
                <c:formatCode>General</c:formatCode>
                <c:ptCount val="4"/>
                <c:pt idx="0">
                  <c:v>33.0</c:v>
                </c:pt>
                <c:pt idx="1">
                  <c:v>9.0</c:v>
                </c:pt>
                <c:pt idx="2">
                  <c:v>48.0</c:v>
                </c:pt>
                <c:pt idx="3">
                  <c:v>14.0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0415328"/>
        <c:axId val="829955056"/>
      </c:radarChart>
      <c:catAx>
        <c:axId val="830415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955056"/>
        <c:crosses val="autoZero"/>
        <c:auto val="1"/>
        <c:lblAlgn val="ctr"/>
        <c:lblOffset val="100"/>
        <c:noMultiLvlLbl val="0"/>
      </c:catAx>
      <c:valAx>
        <c:axId val="829955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415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Team</a:t>
            </a:r>
            <a:r>
              <a:rPr lang="zh-CN"/>
              <a:t> </a:t>
            </a:r>
            <a:r>
              <a:rPr lang="en-US"/>
              <a:t>Stats</a:t>
            </a:r>
            <a:r>
              <a:rPr lang="zh-CN"/>
              <a:t> </a:t>
            </a:r>
            <a:r>
              <a:rPr lang="en-US"/>
              <a:t>of</a:t>
            </a:r>
            <a:r>
              <a:rPr lang="zh-CN"/>
              <a:t> </a:t>
            </a:r>
            <a:r>
              <a:rPr lang="en-US"/>
              <a:t>2</a:t>
            </a:r>
            <a:r>
              <a:rPr lang="zh-CN"/>
              <a:t> </a:t>
            </a:r>
            <a:r>
              <a:rPr lang="en-US"/>
              <a:t>&amp;</a:t>
            </a:r>
            <a:r>
              <a:rPr lang="zh-CN"/>
              <a:t> </a:t>
            </a:r>
            <a:r>
              <a:rPr lang="en-US"/>
              <a:t>3-point</a:t>
            </a:r>
            <a:r>
              <a:rPr lang="zh-CN"/>
              <a:t> </a:t>
            </a:r>
            <a:r>
              <a:rPr lang="en-US"/>
              <a:t>shots</a:t>
            </a:r>
            <a:r>
              <a:rPr lang="zh-CN"/>
              <a:t> </a:t>
            </a:r>
            <a:r>
              <a:rPr lang="en-US"/>
              <a:t>ratio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(Sheet1!$M$19,Sheet1!$M$21)</c:f>
              <c:strCache>
                <c:ptCount val="2"/>
                <c:pt idx="0">
                  <c:v>2-point shots(total)</c:v>
                </c:pt>
                <c:pt idx="1">
                  <c:v>3-point shots(total)</c:v>
                </c:pt>
              </c:strCache>
            </c:strRef>
          </c:cat>
          <c:val>
            <c:numRef>
              <c:f>(Sheet1!$N$19,Sheet1!$N$21)</c:f>
              <c:numCache>
                <c:formatCode>General</c:formatCode>
                <c:ptCount val="2"/>
                <c:pt idx="0">
                  <c:v>84.0</c:v>
                </c:pt>
                <c:pt idx="1">
                  <c:v>35.0</c:v>
                </c:pt>
              </c:numCache>
            </c:numRef>
          </c:val>
        </c:ser>
        <c:dLbls>
          <c:dLblPos val="in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altLang="zh-CN"/>
              <a:t>Team</a:t>
            </a:r>
            <a:r>
              <a:rPr lang="zh-CN" altLang="en-US"/>
              <a:t> </a:t>
            </a:r>
            <a:r>
              <a:rPr lang="en-US" altLang="zh-CN"/>
              <a:t>Stats</a:t>
            </a:r>
            <a:r>
              <a:rPr lang="zh-CN" altLang="en-US"/>
              <a:t> </a:t>
            </a:r>
            <a:r>
              <a:rPr lang="en-US" altLang="zh-CN"/>
              <a:t>of</a:t>
            </a:r>
            <a:r>
              <a:rPr lang="zh-CN" altLang="en-US"/>
              <a:t> </a:t>
            </a:r>
            <a:r>
              <a:rPr lang="en-US" altLang="zh-CN"/>
              <a:t>2</a:t>
            </a:r>
            <a:r>
              <a:rPr lang="zh-CN" altLang="en-US"/>
              <a:t> </a:t>
            </a:r>
            <a:r>
              <a:rPr lang="en-US" altLang="zh-CN"/>
              <a:t>&amp;</a:t>
            </a:r>
            <a:r>
              <a:rPr lang="zh-CN" altLang="en-US"/>
              <a:t> </a:t>
            </a:r>
            <a:r>
              <a:rPr lang="en-US" altLang="zh-CN"/>
              <a:t>3-point</a:t>
            </a:r>
            <a:r>
              <a:rPr lang="zh-CN" altLang="en-US"/>
              <a:t> </a:t>
            </a:r>
            <a:r>
              <a:rPr lang="en-US" altLang="zh-CN"/>
              <a:t>score</a:t>
            </a:r>
            <a:r>
              <a:rPr lang="zh-CN" altLang="en-US"/>
              <a:t> </a:t>
            </a:r>
            <a:r>
              <a:rPr lang="en-US" altLang="zh-CN"/>
              <a:t>ratio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(Sheet1!$M$22,Sheet1!$M$23)</c:f>
              <c:strCache>
                <c:ptCount val="2"/>
                <c:pt idx="0">
                  <c:v>2-point score</c:v>
                </c:pt>
                <c:pt idx="1">
                  <c:v>3-point score</c:v>
                </c:pt>
              </c:strCache>
            </c:strRef>
          </c:cat>
          <c:val>
            <c:numRef>
              <c:f>(Sheet1!$N$22,Sheet1!$N$23)</c:f>
              <c:numCache>
                <c:formatCode>General</c:formatCode>
                <c:ptCount val="2"/>
                <c:pt idx="0">
                  <c:v>72.0</c:v>
                </c:pt>
                <c:pt idx="1">
                  <c:v>39.0</c:v>
                </c:pt>
              </c:numCache>
            </c:numRef>
          </c:val>
        </c:ser>
        <c:dLbls>
          <c:dLblPos val="in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altLang="zh-CN"/>
              <a:t>Turnover</a:t>
            </a:r>
            <a:r>
              <a:rPr lang="zh-CN" altLang="en-US"/>
              <a:t> </a:t>
            </a:r>
            <a:r>
              <a:rPr lang="en-US" altLang="zh-CN"/>
              <a:t>num</a:t>
            </a:r>
            <a:r>
              <a:rPr lang="zh-CN" altLang="en-US"/>
              <a:t> </a:t>
            </a:r>
            <a:r>
              <a:rPr lang="en-US" altLang="zh-CN"/>
              <a:t>for</a:t>
            </a:r>
            <a:r>
              <a:rPr lang="zh-CN" altLang="en-US"/>
              <a:t> </a:t>
            </a:r>
            <a:r>
              <a:rPr lang="en-US" altLang="zh-CN"/>
              <a:t>each</a:t>
            </a:r>
            <a:r>
              <a:rPr lang="zh-CN" altLang="en-US"/>
              <a:t> </a:t>
            </a:r>
            <a:r>
              <a:rPr lang="en-US" altLang="zh-CN"/>
              <a:t>player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(Sheet1!$I$8,Sheet1!$I$23,Sheet1!$I$38)</c:f>
              <c:strCache>
                <c:ptCount val="3"/>
                <c:pt idx="0">
                  <c:v>Liu's Total turnovers</c:v>
                </c:pt>
                <c:pt idx="1">
                  <c:v>Zheng's Total turnovers</c:v>
                </c:pt>
                <c:pt idx="2">
                  <c:v>Kun's Total turnovers</c:v>
                </c:pt>
              </c:strCache>
            </c:strRef>
          </c:cat>
          <c:val>
            <c:numRef>
              <c:f>(Sheet1!$J$8,Sheet1!$J$23,Sheet1!$J$38)</c:f>
              <c:numCache>
                <c:formatCode>General</c:formatCode>
                <c:ptCount val="3"/>
                <c:pt idx="0">
                  <c:v>9.0</c:v>
                </c:pt>
                <c:pt idx="1">
                  <c:v>5.0</c:v>
                </c:pt>
                <c:pt idx="2">
                  <c:v>8.0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5"/>
        <c:overlap val="-45"/>
        <c:axId val="854001520"/>
        <c:axId val="850337600"/>
      </c:barChart>
      <c:catAx>
        <c:axId val="854001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337600"/>
        <c:crosses val="autoZero"/>
        <c:auto val="1"/>
        <c:lblAlgn val="ctr"/>
        <c:lblOffset val="100"/>
        <c:noMultiLvlLbl val="0"/>
      </c:catAx>
      <c:valAx>
        <c:axId val="850337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001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altLang="zh-CN"/>
              <a:t>The</a:t>
            </a:r>
            <a:r>
              <a:rPr lang="zh-CN" altLang="en-US"/>
              <a:t> </a:t>
            </a:r>
            <a:r>
              <a:rPr lang="en-US" altLang="zh-CN"/>
              <a:t>rebounds</a:t>
            </a:r>
            <a:r>
              <a:rPr lang="zh-CN" altLang="en-US" baseline="0"/>
              <a:t> </a:t>
            </a:r>
            <a:r>
              <a:rPr lang="en-US" altLang="zh-CN" baseline="0"/>
              <a:t>ratio</a:t>
            </a:r>
            <a:r>
              <a:rPr lang="zh-CN" altLang="en-US" baseline="0"/>
              <a:t> </a:t>
            </a:r>
            <a:r>
              <a:rPr lang="en-US" altLang="zh-CN" baseline="0"/>
              <a:t>of</a:t>
            </a:r>
            <a:r>
              <a:rPr lang="zh-CN" altLang="en-US" baseline="0"/>
              <a:t> </a:t>
            </a:r>
            <a:r>
              <a:rPr lang="en-US" altLang="zh-CN" baseline="0"/>
              <a:t>each</a:t>
            </a:r>
            <a:r>
              <a:rPr lang="zh-CN" altLang="en-US" baseline="0"/>
              <a:t> </a:t>
            </a:r>
            <a:r>
              <a:rPr lang="en-US" altLang="zh-CN" baseline="0"/>
              <a:t>player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(Sheet1!$I$9,Sheet1!$I$24,Sheet1!$I$39)</c:f>
              <c:strCache>
                <c:ptCount val="3"/>
                <c:pt idx="0">
                  <c:v>Liu's Total rebounds</c:v>
                </c:pt>
                <c:pt idx="1">
                  <c:v>Zheng's Total rebounds</c:v>
                </c:pt>
                <c:pt idx="2">
                  <c:v>Kun's Total rebounds</c:v>
                </c:pt>
              </c:strCache>
            </c:strRef>
          </c:cat>
          <c:val>
            <c:numRef>
              <c:f>(Sheet1!$J$9,Sheet1!$J$24,Sheet1!$J$39)</c:f>
              <c:numCache>
                <c:formatCode>General</c:formatCode>
                <c:ptCount val="3"/>
                <c:pt idx="0">
                  <c:v>48.0</c:v>
                </c:pt>
                <c:pt idx="1">
                  <c:v>13.0</c:v>
                </c:pt>
                <c:pt idx="2">
                  <c:v>22.0</c:v>
                </c:pt>
              </c:numCache>
            </c:numRef>
          </c:val>
        </c:ser>
        <c:dLbls>
          <c:dLblPos val="in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altLang="zh-CN"/>
              <a:t>The</a:t>
            </a:r>
            <a:r>
              <a:rPr lang="zh-CN" altLang="en-US"/>
              <a:t> </a:t>
            </a:r>
            <a:r>
              <a:rPr lang="en-US" altLang="zh-CN"/>
              <a:t>shots</a:t>
            </a:r>
            <a:r>
              <a:rPr lang="zh-CN" altLang="en-US"/>
              <a:t> </a:t>
            </a:r>
            <a:r>
              <a:rPr lang="en-US" altLang="zh-CN"/>
              <a:t>ratio</a:t>
            </a:r>
            <a:r>
              <a:rPr lang="zh-CN" altLang="en-US"/>
              <a:t> </a:t>
            </a:r>
            <a:r>
              <a:rPr lang="en-US" altLang="zh-CN"/>
              <a:t>of</a:t>
            </a:r>
            <a:r>
              <a:rPr lang="zh-CN" altLang="en-US"/>
              <a:t> </a:t>
            </a:r>
            <a:r>
              <a:rPr lang="en-US" altLang="zh-CN"/>
              <a:t>each</a:t>
            </a:r>
            <a:r>
              <a:rPr lang="zh-CN" altLang="en-US"/>
              <a:t> </a:t>
            </a:r>
            <a:r>
              <a:rPr lang="en-US" altLang="zh-CN"/>
              <a:t>player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(Sheet1!$I$4,Sheet1!$I$19,Sheet1!$I$34)</c:f>
              <c:strCache>
                <c:ptCount val="3"/>
                <c:pt idx="0">
                  <c:v>Liu's Total shots</c:v>
                </c:pt>
                <c:pt idx="1">
                  <c:v>Zheng's Total shots</c:v>
                </c:pt>
                <c:pt idx="2">
                  <c:v>Kun's Total shots</c:v>
                </c:pt>
              </c:strCache>
            </c:strRef>
          </c:cat>
          <c:val>
            <c:numRef>
              <c:f>(Sheet1!$J$4,Sheet1!$J$19,Sheet1!$J$34)</c:f>
              <c:numCache>
                <c:formatCode>General</c:formatCode>
                <c:ptCount val="3"/>
                <c:pt idx="0">
                  <c:v>34.0</c:v>
                </c:pt>
                <c:pt idx="1">
                  <c:v>44.0</c:v>
                </c:pt>
                <c:pt idx="2">
                  <c:v>41.0</c:v>
                </c:pt>
              </c:numCache>
            </c:numRef>
          </c:val>
        </c:ser>
        <c:dLbls>
          <c:dLblPos val="in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1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/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1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/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21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/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431800</xdr:colOff>
      <xdr:row>46</xdr:row>
      <xdr:rowOff>12700</xdr:rowOff>
    </xdr:from>
    <xdr:to>
      <xdr:col>5</xdr:col>
      <xdr:colOff>279400</xdr:colOff>
      <xdr:row>62</xdr:row>
      <xdr:rowOff>88900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330200</xdr:colOff>
      <xdr:row>64</xdr:row>
      <xdr:rowOff>38100</xdr:rowOff>
    </xdr:from>
    <xdr:to>
      <xdr:col>5</xdr:col>
      <xdr:colOff>241300</xdr:colOff>
      <xdr:row>79</xdr:row>
      <xdr:rowOff>76200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381000</xdr:colOff>
      <xdr:row>80</xdr:row>
      <xdr:rowOff>114300</xdr:rowOff>
    </xdr:from>
    <xdr:to>
      <xdr:col>4</xdr:col>
      <xdr:colOff>889000</xdr:colOff>
      <xdr:row>94</xdr:row>
      <xdr:rowOff>12700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457200</xdr:colOff>
      <xdr:row>80</xdr:row>
      <xdr:rowOff>139700</xdr:rowOff>
    </xdr:from>
    <xdr:to>
      <xdr:col>9</xdr:col>
      <xdr:colOff>787400</xdr:colOff>
      <xdr:row>94</xdr:row>
      <xdr:rowOff>38100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0</xdr:colOff>
      <xdr:row>46</xdr:row>
      <xdr:rowOff>0</xdr:rowOff>
    </xdr:from>
    <xdr:to>
      <xdr:col>10</xdr:col>
      <xdr:colOff>520700</xdr:colOff>
      <xdr:row>61</xdr:row>
      <xdr:rowOff>50800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165100</xdr:colOff>
      <xdr:row>46</xdr:row>
      <xdr:rowOff>63500</xdr:rowOff>
    </xdr:from>
    <xdr:to>
      <xdr:col>14</xdr:col>
      <xdr:colOff>101600</xdr:colOff>
      <xdr:row>61</xdr:row>
      <xdr:rowOff>50800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0</xdr:colOff>
      <xdr:row>65</xdr:row>
      <xdr:rowOff>0</xdr:rowOff>
    </xdr:from>
    <xdr:to>
      <xdr:col>10</xdr:col>
      <xdr:colOff>330200</xdr:colOff>
      <xdr:row>78</xdr:row>
      <xdr:rowOff>101600</xdr:rowOff>
    </xdr:to>
    <xdr:graphicFrame macro="">
      <xdr:nvGraphicFramePr>
        <xdr:cNvPr id="19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0</xdr:colOff>
      <xdr:row>65</xdr:row>
      <xdr:rowOff>0</xdr:rowOff>
    </xdr:from>
    <xdr:to>
      <xdr:col>13</xdr:col>
      <xdr:colOff>2044700</xdr:colOff>
      <xdr:row>78</xdr:row>
      <xdr:rowOff>101600</xdr:rowOff>
    </xdr:to>
    <xdr:graphicFrame macro="">
      <xdr:nvGraphicFramePr>
        <xdr:cNvPr id="21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11</xdr:col>
      <xdr:colOff>127000</xdr:colOff>
      <xdr:row>29</xdr:row>
      <xdr:rowOff>38100</xdr:rowOff>
    </xdr:from>
    <xdr:to>
      <xdr:col>13</xdr:col>
      <xdr:colOff>2171700</xdr:colOff>
      <xdr:row>42</xdr:row>
      <xdr:rowOff>139700</xdr:rowOff>
    </xdr:to>
    <xdr:graphicFrame macro="">
      <xdr:nvGraphicFramePr>
        <xdr:cNvPr id="22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"/>
  <sheetViews>
    <sheetView tabSelected="1" workbookViewId="0">
      <selection activeCell="L17" sqref="L17"/>
    </sheetView>
  </sheetViews>
  <sheetFormatPr baseColWidth="10" defaultRowHeight="16" x14ac:dyDescent="0.2"/>
  <cols>
    <col min="1" max="1" width="19.33203125" style="1" customWidth="1"/>
    <col min="2" max="2" width="10.83203125" style="1"/>
    <col min="3" max="3" width="12.33203125" style="1" customWidth="1"/>
    <col min="4" max="4" width="10.83203125" style="1"/>
    <col min="5" max="5" width="12.1640625" style="1" customWidth="1"/>
    <col min="6" max="8" width="10.83203125" style="1"/>
    <col min="9" max="9" width="23.1640625" style="1" customWidth="1"/>
    <col min="10" max="12" width="10.83203125" style="1"/>
    <col min="13" max="13" width="22.33203125" style="1" customWidth="1"/>
    <col min="14" max="14" width="28.6640625" style="1" customWidth="1"/>
    <col min="15" max="16384" width="10.83203125" style="1"/>
  </cols>
  <sheetData>
    <row r="1" spans="1:13" x14ac:dyDescent="0.2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I1" s="1" t="s">
        <v>21</v>
      </c>
    </row>
    <row r="2" spans="1:13" x14ac:dyDescent="0.2">
      <c r="A2" s="1" t="s">
        <v>1</v>
      </c>
      <c r="B2" s="1">
        <v>4</v>
      </c>
      <c r="C2" s="1">
        <v>7</v>
      </c>
      <c r="D2" s="1">
        <v>6</v>
      </c>
      <c r="E2" s="1">
        <v>9</v>
      </c>
      <c r="F2" s="1">
        <v>0</v>
      </c>
      <c r="G2" s="1">
        <v>7</v>
      </c>
      <c r="I2" s="1" t="s">
        <v>30</v>
      </c>
      <c r="J2" s="1">
        <f>SUM(B2:G2)</f>
        <v>33</v>
      </c>
    </row>
    <row r="3" spans="1:13" x14ac:dyDescent="0.2">
      <c r="A3" s="1" t="s">
        <v>3</v>
      </c>
      <c r="B3" s="1">
        <v>7</v>
      </c>
      <c r="C3" s="1">
        <v>5</v>
      </c>
      <c r="D3" s="1">
        <v>9</v>
      </c>
      <c r="E3" s="1">
        <v>10</v>
      </c>
      <c r="F3" s="1">
        <v>8</v>
      </c>
      <c r="G3" s="1">
        <v>9</v>
      </c>
      <c r="I3" s="1" t="s">
        <v>23</v>
      </c>
      <c r="J3" s="1">
        <f>33/6</f>
        <v>5.5</v>
      </c>
    </row>
    <row r="4" spans="1:13" x14ac:dyDescent="0.2">
      <c r="A4" s="1" t="s">
        <v>4</v>
      </c>
      <c r="B4" s="1">
        <v>2</v>
      </c>
      <c r="C4" s="1">
        <v>2</v>
      </c>
      <c r="D4" s="1">
        <v>5</v>
      </c>
      <c r="E4" s="1">
        <v>3</v>
      </c>
      <c r="F4" s="1">
        <v>1</v>
      </c>
      <c r="G4" s="1">
        <v>1</v>
      </c>
      <c r="I4" s="1" t="s">
        <v>31</v>
      </c>
      <c r="J4" s="1">
        <f>SUM(B9:G9)</f>
        <v>34</v>
      </c>
    </row>
    <row r="5" spans="1:13" x14ac:dyDescent="0.2">
      <c r="A5" s="1" t="s">
        <v>5</v>
      </c>
      <c r="B5" s="1">
        <v>0</v>
      </c>
      <c r="C5" s="1">
        <v>0</v>
      </c>
      <c r="D5" s="1">
        <v>3</v>
      </c>
      <c r="E5" s="1">
        <v>0</v>
      </c>
      <c r="F5" s="1">
        <v>0</v>
      </c>
      <c r="G5" s="1">
        <v>0</v>
      </c>
      <c r="I5" s="1" t="s">
        <v>26</v>
      </c>
      <c r="J5" s="1">
        <f>34/6</f>
        <v>5.666666666666667</v>
      </c>
    </row>
    <row r="6" spans="1:13" x14ac:dyDescent="0.2">
      <c r="A6" s="1" t="s">
        <v>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I6" s="1" t="s">
        <v>24</v>
      </c>
      <c r="J6" s="1">
        <f>SUM(B10:G10)/SUM(B11:G11)</f>
        <v>0.48</v>
      </c>
    </row>
    <row r="7" spans="1:13" x14ac:dyDescent="0.2">
      <c r="A7" s="1" t="s">
        <v>7</v>
      </c>
      <c r="B7" s="1">
        <v>1</v>
      </c>
      <c r="C7" s="1">
        <v>1</v>
      </c>
      <c r="D7" s="1">
        <v>2</v>
      </c>
      <c r="E7" s="1">
        <v>1</v>
      </c>
      <c r="F7" s="1">
        <v>1</v>
      </c>
      <c r="G7" s="1">
        <v>3</v>
      </c>
      <c r="I7" s="1" t="s">
        <v>25</v>
      </c>
      <c r="J7" s="1">
        <f>SUM(B12:G12)/SUM(B13:G13)</f>
        <v>0.33333333333333331</v>
      </c>
    </row>
    <row r="8" spans="1:13" x14ac:dyDescent="0.2">
      <c r="A8" s="1" t="s">
        <v>8</v>
      </c>
      <c r="B8" s="1">
        <v>1</v>
      </c>
      <c r="C8" s="1">
        <v>0</v>
      </c>
      <c r="D8" s="1">
        <v>1</v>
      </c>
      <c r="E8" s="1">
        <v>1</v>
      </c>
      <c r="F8" s="1">
        <v>0</v>
      </c>
      <c r="G8" s="1">
        <v>0</v>
      </c>
      <c r="I8" s="1" t="s">
        <v>34</v>
      </c>
      <c r="J8" s="1">
        <f>SUM(B7:G7)</f>
        <v>9</v>
      </c>
    </row>
    <row r="9" spans="1:13" x14ac:dyDescent="0.2">
      <c r="A9" s="1" t="s">
        <v>2</v>
      </c>
      <c r="B9" s="1">
        <v>7</v>
      </c>
      <c r="C9" s="1">
        <v>4</v>
      </c>
      <c r="D9" s="1">
        <v>7</v>
      </c>
      <c r="E9" s="1">
        <v>6</v>
      </c>
      <c r="F9" s="1">
        <v>2</v>
      </c>
      <c r="G9" s="1">
        <v>8</v>
      </c>
      <c r="I9" s="1" t="s">
        <v>32</v>
      </c>
      <c r="J9" s="1">
        <f>SUM(B3:G3)</f>
        <v>48</v>
      </c>
    </row>
    <row r="10" spans="1:13" x14ac:dyDescent="0.2">
      <c r="A10" s="1" t="s">
        <v>15</v>
      </c>
      <c r="B10" s="1">
        <v>2</v>
      </c>
      <c r="C10" s="1">
        <v>2</v>
      </c>
      <c r="D10" s="1">
        <v>3</v>
      </c>
      <c r="E10" s="1">
        <v>3</v>
      </c>
      <c r="F10" s="1">
        <v>0</v>
      </c>
      <c r="G10" s="1">
        <v>2</v>
      </c>
      <c r="I10" s="1" t="s">
        <v>33</v>
      </c>
      <c r="J10" s="1">
        <f>SUM(B4:G4)</f>
        <v>14</v>
      </c>
    </row>
    <row r="11" spans="1:13" x14ac:dyDescent="0.2">
      <c r="A11" s="1" t="s">
        <v>16</v>
      </c>
      <c r="B11" s="1">
        <v>6</v>
      </c>
      <c r="C11" s="1">
        <v>2</v>
      </c>
      <c r="D11" s="1">
        <v>5</v>
      </c>
      <c r="E11" s="1">
        <v>3</v>
      </c>
      <c r="F11" s="1">
        <v>2</v>
      </c>
      <c r="G11" s="1">
        <v>7</v>
      </c>
    </row>
    <row r="12" spans="1:13" x14ac:dyDescent="0.2">
      <c r="A12" s="1" t="s">
        <v>17</v>
      </c>
      <c r="B12" s="1">
        <v>0</v>
      </c>
      <c r="C12" s="1">
        <v>1</v>
      </c>
      <c r="D12" s="1">
        <v>0</v>
      </c>
      <c r="E12" s="1">
        <v>1</v>
      </c>
      <c r="F12" s="1">
        <v>0</v>
      </c>
      <c r="G12" s="1">
        <v>1</v>
      </c>
    </row>
    <row r="13" spans="1:13" x14ac:dyDescent="0.2">
      <c r="A13" s="1" t="s">
        <v>18</v>
      </c>
      <c r="B13" s="1">
        <v>1</v>
      </c>
      <c r="C13" s="1">
        <v>2</v>
      </c>
      <c r="D13" s="1">
        <v>2</v>
      </c>
      <c r="E13" s="1">
        <v>3</v>
      </c>
      <c r="F13" s="1">
        <v>0</v>
      </c>
      <c r="G13" s="1">
        <v>1</v>
      </c>
    </row>
    <row r="16" spans="1:13" x14ac:dyDescent="0.2">
      <c r="A16" s="1" t="s">
        <v>19</v>
      </c>
      <c r="B16" s="1" t="s">
        <v>9</v>
      </c>
      <c r="C16" s="1" t="s">
        <v>10</v>
      </c>
      <c r="D16" s="1" t="s">
        <v>11</v>
      </c>
      <c r="E16" s="1" t="s">
        <v>12</v>
      </c>
      <c r="F16" s="1" t="s">
        <v>13</v>
      </c>
      <c r="G16" s="1" t="s">
        <v>14</v>
      </c>
      <c r="I16" s="1" t="s">
        <v>27</v>
      </c>
      <c r="M16" s="1" t="s">
        <v>45</v>
      </c>
    </row>
    <row r="17" spans="1:14" x14ac:dyDescent="0.2">
      <c r="A17" s="1" t="s">
        <v>1</v>
      </c>
      <c r="B17" s="1">
        <v>8</v>
      </c>
      <c r="C17" s="1">
        <v>6</v>
      </c>
      <c r="D17" s="1">
        <v>6</v>
      </c>
      <c r="E17" s="1">
        <v>6</v>
      </c>
      <c r="F17" s="1">
        <v>12</v>
      </c>
      <c r="G17" s="1">
        <v>0</v>
      </c>
      <c r="I17" s="1" t="s">
        <v>35</v>
      </c>
      <c r="J17" s="1">
        <f>SUM(B17:G17)</f>
        <v>38</v>
      </c>
      <c r="M17" s="1" t="s">
        <v>22</v>
      </c>
      <c r="N17" s="1">
        <f>SUM(J2,J17,J32)</f>
        <v>114</v>
      </c>
    </row>
    <row r="18" spans="1:14" x14ac:dyDescent="0.2">
      <c r="A18" s="1" t="s">
        <v>3</v>
      </c>
      <c r="B18" s="1">
        <v>1</v>
      </c>
      <c r="C18" s="1">
        <v>3</v>
      </c>
      <c r="D18" s="1">
        <v>1</v>
      </c>
      <c r="E18" s="1">
        <v>3</v>
      </c>
      <c r="F18" s="1">
        <v>2</v>
      </c>
      <c r="G18" s="1">
        <v>3</v>
      </c>
      <c r="I18" s="1" t="s">
        <v>23</v>
      </c>
      <c r="J18" s="1">
        <f>38/6</f>
        <v>6.333333333333333</v>
      </c>
      <c r="M18" s="1" t="s">
        <v>46</v>
      </c>
      <c r="N18" s="1">
        <f>SUM(B10:G10,B25:G25,B40:G40)</f>
        <v>36</v>
      </c>
    </row>
    <row r="19" spans="1:14" x14ac:dyDescent="0.2">
      <c r="A19" s="1" t="s">
        <v>4</v>
      </c>
      <c r="B19" s="1">
        <v>0</v>
      </c>
      <c r="C19" s="1">
        <v>3</v>
      </c>
      <c r="D19" s="1">
        <v>0</v>
      </c>
      <c r="E19" s="1">
        <v>1</v>
      </c>
      <c r="F19" s="1">
        <v>0</v>
      </c>
      <c r="G19" s="1">
        <v>2</v>
      </c>
      <c r="I19" s="1" t="s">
        <v>36</v>
      </c>
      <c r="J19" s="1">
        <f>SUM(B24:G24)</f>
        <v>44</v>
      </c>
      <c r="M19" s="1" t="s">
        <v>47</v>
      </c>
      <c r="N19" s="1">
        <f>SUM(B26:G26,B41:G41,B11:G11)</f>
        <v>84</v>
      </c>
    </row>
    <row r="20" spans="1:14" x14ac:dyDescent="0.2">
      <c r="A20" s="1" t="s">
        <v>5</v>
      </c>
      <c r="B20" s="1">
        <v>1</v>
      </c>
      <c r="C20" s="1">
        <v>1</v>
      </c>
      <c r="D20" s="1">
        <v>0</v>
      </c>
      <c r="E20" s="1">
        <v>0</v>
      </c>
      <c r="F20" s="1">
        <v>1</v>
      </c>
      <c r="G20" s="1">
        <v>0</v>
      </c>
      <c r="I20" s="1" t="s">
        <v>26</v>
      </c>
      <c r="J20" s="1">
        <f>44/6</f>
        <v>7.333333333333333</v>
      </c>
      <c r="M20" s="1" t="s">
        <v>48</v>
      </c>
      <c r="N20" s="1">
        <f>SUM(B42:G42,B12:G12)</f>
        <v>13</v>
      </c>
    </row>
    <row r="21" spans="1:14" x14ac:dyDescent="0.2">
      <c r="A21" s="1" t="s">
        <v>6</v>
      </c>
      <c r="B21" s="1">
        <v>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I21" s="1" t="s">
        <v>24</v>
      </c>
      <c r="J21" s="1">
        <f>SUM(B25:G25)/SUM(B26:G26)</f>
        <v>0.43181818181818182</v>
      </c>
      <c r="M21" s="1" t="s">
        <v>49</v>
      </c>
      <c r="N21" s="1">
        <f>SUM(B13:G13,B43:G43)</f>
        <v>35</v>
      </c>
    </row>
    <row r="22" spans="1:14" x14ac:dyDescent="0.2">
      <c r="A22" s="1" t="s">
        <v>7</v>
      </c>
      <c r="B22" s="1">
        <v>2</v>
      </c>
      <c r="C22" s="1">
        <v>1</v>
      </c>
      <c r="D22" s="1">
        <v>0</v>
      </c>
      <c r="E22" s="1">
        <v>1</v>
      </c>
      <c r="F22" s="1">
        <v>0</v>
      </c>
      <c r="G22" s="1">
        <v>1</v>
      </c>
      <c r="I22" s="1" t="s">
        <v>25</v>
      </c>
      <c r="J22" s="1" t="s">
        <v>28</v>
      </c>
      <c r="M22" s="1" t="s">
        <v>50</v>
      </c>
      <c r="N22" s="1">
        <f>36*2</f>
        <v>72</v>
      </c>
    </row>
    <row r="23" spans="1:14" x14ac:dyDescent="0.2">
      <c r="A23" s="1" t="s">
        <v>8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I23" s="1" t="s">
        <v>37</v>
      </c>
      <c r="J23" s="1">
        <f>SUM(B22:G22)</f>
        <v>5</v>
      </c>
      <c r="M23" s="1" t="s">
        <v>51</v>
      </c>
      <c r="N23" s="1">
        <f>13*3</f>
        <v>39</v>
      </c>
    </row>
    <row r="24" spans="1:14" x14ac:dyDescent="0.2">
      <c r="A24" s="1" t="s">
        <v>2</v>
      </c>
      <c r="B24" s="1">
        <v>7</v>
      </c>
      <c r="C24" s="1">
        <v>6</v>
      </c>
      <c r="D24" s="1">
        <v>8</v>
      </c>
      <c r="E24" s="1">
        <v>8</v>
      </c>
      <c r="F24" s="1">
        <v>9</v>
      </c>
      <c r="G24" s="1">
        <v>6</v>
      </c>
      <c r="I24" s="1" t="s">
        <v>38</v>
      </c>
      <c r="J24" s="1">
        <f>SUM(B18:G18)</f>
        <v>13</v>
      </c>
    </row>
    <row r="25" spans="1:14" x14ac:dyDescent="0.2">
      <c r="A25" s="1" t="s">
        <v>15</v>
      </c>
      <c r="B25" s="1">
        <v>4</v>
      </c>
      <c r="C25" s="1">
        <v>3</v>
      </c>
      <c r="D25" s="1">
        <v>3</v>
      </c>
      <c r="E25" s="1">
        <v>3</v>
      </c>
      <c r="F25" s="1">
        <v>6</v>
      </c>
      <c r="G25" s="1">
        <v>0</v>
      </c>
      <c r="I25" s="1" t="s">
        <v>39</v>
      </c>
      <c r="J25" s="1">
        <f>SUM(B19:G19)</f>
        <v>6</v>
      </c>
    </row>
    <row r="26" spans="1:14" x14ac:dyDescent="0.2">
      <c r="A26" s="1" t="s">
        <v>16</v>
      </c>
      <c r="B26" s="1">
        <v>7</v>
      </c>
      <c r="C26" s="1">
        <v>6</v>
      </c>
      <c r="D26" s="1">
        <v>8</v>
      </c>
      <c r="E26" s="1">
        <v>8</v>
      </c>
      <c r="F26" s="1">
        <v>9</v>
      </c>
      <c r="G26" s="1">
        <v>6</v>
      </c>
      <c r="M26" s="1">
        <f>22/6</f>
        <v>3.6666666666666665</v>
      </c>
    </row>
    <row r="27" spans="1:14" x14ac:dyDescent="0.2">
      <c r="A27" s="1" t="s">
        <v>17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</row>
    <row r="28" spans="1:14" x14ac:dyDescent="0.2">
      <c r="A28" s="1" t="s">
        <v>18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</row>
    <row r="31" spans="1:14" x14ac:dyDescent="0.2">
      <c r="A31" s="2" t="s">
        <v>20</v>
      </c>
      <c r="B31" s="2" t="s">
        <v>9</v>
      </c>
      <c r="C31" s="2" t="s">
        <v>10</v>
      </c>
      <c r="D31" s="2" t="s">
        <v>11</v>
      </c>
      <c r="E31" s="2" t="s">
        <v>12</v>
      </c>
      <c r="F31" s="2" t="s">
        <v>13</v>
      </c>
      <c r="G31" s="2" t="s">
        <v>14</v>
      </c>
      <c r="I31" s="1" t="s">
        <v>29</v>
      </c>
    </row>
    <row r="32" spans="1:14" x14ac:dyDescent="0.2">
      <c r="A32" s="2" t="s">
        <v>1</v>
      </c>
      <c r="B32" s="2">
        <v>5</v>
      </c>
      <c r="C32" s="2">
        <v>14</v>
      </c>
      <c r="D32" s="2">
        <v>6</v>
      </c>
      <c r="E32" s="2">
        <v>2</v>
      </c>
      <c r="F32" s="2">
        <v>14</v>
      </c>
      <c r="G32" s="2">
        <v>2</v>
      </c>
      <c r="I32" s="2" t="s">
        <v>40</v>
      </c>
      <c r="J32" s="1">
        <f>SUM(B32:G32)</f>
        <v>43</v>
      </c>
    </row>
    <row r="33" spans="1:10" x14ac:dyDescent="0.2">
      <c r="A33" s="2" t="s">
        <v>3</v>
      </c>
      <c r="B33" s="2">
        <v>5</v>
      </c>
      <c r="C33" s="2">
        <v>2</v>
      </c>
      <c r="D33" s="2">
        <v>2</v>
      </c>
      <c r="E33" s="2">
        <v>5</v>
      </c>
      <c r="F33" s="2">
        <v>5</v>
      </c>
      <c r="G33" s="2">
        <v>3</v>
      </c>
      <c r="I33" s="2" t="s">
        <v>23</v>
      </c>
      <c r="J33" s="1">
        <f>43/6</f>
        <v>7.166666666666667</v>
      </c>
    </row>
    <row r="34" spans="1:10" x14ac:dyDescent="0.2">
      <c r="A34" s="2" t="s">
        <v>4</v>
      </c>
      <c r="B34" s="2">
        <v>2</v>
      </c>
      <c r="C34" s="2">
        <v>2</v>
      </c>
      <c r="D34" s="2">
        <v>2</v>
      </c>
      <c r="E34" s="2">
        <v>1</v>
      </c>
      <c r="F34" s="2">
        <v>5</v>
      </c>
      <c r="G34" s="2">
        <v>1</v>
      </c>
      <c r="I34" s="2" t="s">
        <v>41</v>
      </c>
      <c r="J34" s="1">
        <f>SUM(B39:G39)</f>
        <v>41</v>
      </c>
    </row>
    <row r="35" spans="1:10" x14ac:dyDescent="0.2">
      <c r="A35" s="2" t="s">
        <v>5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I35" s="2" t="s">
        <v>26</v>
      </c>
      <c r="J35" s="1">
        <f>41/6</f>
        <v>6.833333333333333</v>
      </c>
    </row>
    <row r="36" spans="1:10" x14ac:dyDescent="0.2">
      <c r="A36" s="2" t="s">
        <v>6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I36" s="2" t="s">
        <v>24</v>
      </c>
      <c r="J36" s="1">
        <f>SUM(B40:G40)/SUM(B41:G41)</f>
        <v>0.33333333333333331</v>
      </c>
    </row>
    <row r="37" spans="1:10" x14ac:dyDescent="0.2">
      <c r="A37" s="2" t="s">
        <v>7</v>
      </c>
      <c r="B37" s="2">
        <v>0</v>
      </c>
      <c r="C37" s="2">
        <v>1</v>
      </c>
      <c r="D37" s="2">
        <v>2</v>
      </c>
      <c r="E37" s="2">
        <v>3</v>
      </c>
      <c r="F37" s="2">
        <v>2</v>
      </c>
      <c r="G37" s="2">
        <v>0</v>
      </c>
      <c r="I37" s="2" t="s">
        <v>25</v>
      </c>
      <c r="J37" s="1">
        <f>SUM(B42:G42)/SUM(B43:G43)</f>
        <v>0.38461538461538464</v>
      </c>
    </row>
    <row r="38" spans="1:10" x14ac:dyDescent="0.2">
      <c r="A38" s="2" t="s">
        <v>8</v>
      </c>
      <c r="B38" s="2">
        <v>0</v>
      </c>
      <c r="C38" s="2">
        <v>1</v>
      </c>
      <c r="D38" s="2">
        <v>0</v>
      </c>
      <c r="E38" s="2">
        <v>0</v>
      </c>
      <c r="F38" s="2">
        <v>0</v>
      </c>
      <c r="G38" s="2">
        <v>0</v>
      </c>
      <c r="I38" s="2" t="s">
        <v>42</v>
      </c>
      <c r="J38" s="1">
        <f>SUM(B37:G37)</f>
        <v>8</v>
      </c>
    </row>
    <row r="39" spans="1:10" x14ac:dyDescent="0.2">
      <c r="A39" s="2" t="s">
        <v>2</v>
      </c>
      <c r="B39" s="2">
        <v>8</v>
      </c>
      <c r="C39" s="2">
        <v>7</v>
      </c>
      <c r="D39" s="2">
        <v>6</v>
      </c>
      <c r="E39" s="2">
        <v>9</v>
      </c>
      <c r="F39" s="2">
        <v>6</v>
      </c>
      <c r="G39" s="2">
        <v>5</v>
      </c>
      <c r="I39" s="2" t="s">
        <v>43</v>
      </c>
      <c r="J39" s="1">
        <f>SUM(B33:G33)</f>
        <v>22</v>
      </c>
    </row>
    <row r="40" spans="1:10" x14ac:dyDescent="0.2">
      <c r="A40" s="2" t="s">
        <v>15</v>
      </c>
      <c r="B40" s="2">
        <v>1</v>
      </c>
      <c r="C40" s="2">
        <v>1</v>
      </c>
      <c r="D40" s="2">
        <v>0</v>
      </c>
      <c r="E40" s="2">
        <v>1</v>
      </c>
      <c r="F40" s="2">
        <v>1</v>
      </c>
      <c r="G40" s="2">
        <v>1</v>
      </c>
      <c r="I40" s="2" t="s">
        <v>44</v>
      </c>
      <c r="J40" s="1">
        <f>SUM(B34:G34)</f>
        <v>13</v>
      </c>
    </row>
    <row r="41" spans="1:10" x14ac:dyDescent="0.2">
      <c r="A41" s="2" t="s">
        <v>16</v>
      </c>
      <c r="B41" s="2">
        <v>4</v>
      </c>
      <c r="C41" s="2">
        <v>1</v>
      </c>
      <c r="D41" s="2">
        <v>1</v>
      </c>
      <c r="E41" s="2">
        <v>7</v>
      </c>
      <c r="F41" s="2">
        <v>1</v>
      </c>
      <c r="G41" s="2">
        <v>1</v>
      </c>
    </row>
    <row r="42" spans="1:10" x14ac:dyDescent="0.2">
      <c r="A42" s="2" t="s">
        <v>17</v>
      </c>
      <c r="B42" s="2">
        <v>1</v>
      </c>
      <c r="C42" s="2">
        <v>4</v>
      </c>
      <c r="D42" s="2">
        <v>2</v>
      </c>
      <c r="E42" s="2">
        <v>0</v>
      </c>
      <c r="F42" s="2">
        <v>3</v>
      </c>
      <c r="G42" s="2">
        <v>0</v>
      </c>
    </row>
    <row r="43" spans="1:10" x14ac:dyDescent="0.2">
      <c r="A43" s="2" t="s">
        <v>18</v>
      </c>
      <c r="B43" s="2">
        <v>4</v>
      </c>
      <c r="C43" s="2">
        <v>6</v>
      </c>
      <c r="D43" s="2">
        <v>5</v>
      </c>
      <c r="E43" s="2">
        <v>2</v>
      </c>
      <c r="F43" s="2">
        <v>5</v>
      </c>
      <c r="G43" s="2">
        <v>4</v>
      </c>
    </row>
  </sheetData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2018-08-23T03:45:20Z</dcterms:created>
  <dcterms:modified xsi:type="dcterms:W3CDTF">2018-08-23T07:07:37Z</dcterms:modified>
</cp:coreProperties>
</file>